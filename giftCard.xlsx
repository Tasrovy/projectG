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4750" windowHeight="11430"/>
  </bookViews>
  <sheets>
    <sheet name="Sheet1" sheetId="1" r:id="rId1"/>
    <sheet name="Sheet2" sheetId="2" r:id="rId2"/>
    <sheet name="Sheet3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<sst xmlns="http://schemas.openxmlformats.org/spreadsheetml/2006/main" count="112" uniqueCount="106">
  <si>
    <t>id</t>
  </si>
  <si>
    <t>name</t>
  </si>
  <si>
    <t>nature1</t>
  </si>
  <si>
    <t>nature2</t>
  </si>
  <si>
    <t>nature3</t>
  </si>
  <si>
    <t>description</t>
  </si>
  <si>
    <t>text</t>
  </si>
  <si>
    <t>prompt</t>
  </si>
  <si>
    <t>trigger</t>
  </si>
  <si>
    <t>buff</t>
  </si>
  <si>
    <t>sale</t>
  </si>
  <si>
    <t>sell</t>
  </si>
  <si>
    <t>made</t>
  </si>
  <si>
    <t>broken</t>
  </si>
  <si>
    <t>added</t>
  </si>
  <si>
    <t>nextTurn</t>
  </si>
  <si>
    <t>Icon</t>
  </si>
  <si>
    <t>dialog</t>
  </si>
  <si>
    <t>蓝色千纸鹤</t>
  </si>
  <si>
    <t>提升蒂娜的好感一{nature1}点</t>
  </si>
  <si>
    <t>shake(1,0.2)</t>
  </si>
  <si>
    <t>黄色千纸鹤</t>
  </si>
  <si>
    <t>提升蒂娜的好感二{nature2}点</t>
  </si>
  <si>
    <t>magnify(0.2)</t>
  </si>
  <si>
    <t>折纸书签</t>
  </si>
  <si>
    <t>折成可爱动物形状的书签，可惜蒂娜不经常看书</t>
  </si>
  <si>
    <t>迷你食物模型</t>
  </si>
  <si>
    <t>可以捧在手心里的超小汉堡模型,让人食欲满满</t>
  </si>
  <si>
    <t>星星兔挂坠</t>
  </si>
  <si>
    <t>提升蒂娜的好感一{nature1}点，好感二{nature2}点</t>
  </si>
  <si>
    <t>毛茸茸的兔子抱着星星，让人想捏一捏，感觉会很适合蒂娜的包</t>
  </si>
  <si>
    <t>雪莉牌手榨苹果汁</t>
  </si>
  <si>
    <t>提升蒂娜的好感三{nature3}点</t>
  </si>
  <si>
    <t>似乎是某位具有巨力的魔法少女亲手制作的果汁？</t>
  </si>
  <si>
    <t>诺亚牌泡腾片</t>
  </si>
  <si>
    <t>提升蒂娜的好感一{nature1}点，减少蒂娜的好感二{nature2}点</t>
  </si>
  <si>
    <t>一款风味独特的泡腾片，深受年轻人市场青睐</t>
  </si>
  <si>
    <t>shake(1,0.4)</t>
  </si>
  <si>
    <t>金圆券</t>
  </si>
  <si>
    <t>提升蒂娜的好感一{nature1}点，蒂娜的好感二{nature2}点</t>
  </si>
  <si>
    <t>看起来普通的失效货币，但他的价值似乎比想象中要高</t>
  </si>
  <si>
    <t>棉花娃娃</t>
  </si>
  <si>
    <t>提升蒂娜的好感一、二、三各{nature1}点</t>
  </si>
  <si>
    <t>acg爱好者经常会挂在包间的角色q版娃娃，蒂娜应该会觉得这很可爱</t>
  </si>
  <si>
    <t>magnify(0.4)</t>
  </si>
  <si>
    <t>皮质相机肩带</t>
  </si>
  <si>
    <t>提升蒂娜的好感一{nature1}点，好感二{nature2}点,从袋子里取出一件物品</t>
  </si>
  <si>
    <t>内侧有手工雕刻的复古花纹，能减轻脖子的负担。</t>
  </si>
  <si>
    <t>drawCard(1)</t>
  </si>
  <si>
    <t>水下摄影袋</t>
  </si>
  <si>
    <t>让相机也能在泳池里工作，打开新世界大门。</t>
  </si>
  <si>
    <t>麻薯捏捏乐</t>
  </si>
  <si>
    <t>提升蒂娜的好感一{nature1}点，减少蒂娜的好感二10点，好感二减少的数值不会改变</t>
  </si>
  <si>
    <t>手感像刚捣好的年糕，治愈强迫症。</t>
  </si>
  <si>
    <t>addNatureAtSum(-10,2)</t>
  </si>
  <si>
    <r>
      <rPr>
        <sz val="12"/>
        <color rgb="FF0F1115"/>
        <rFont val="Segoe UI"/>
        <charset val="134"/>
      </rPr>
      <t> </t>
    </r>
    <r>
      <rPr>
        <sz val="12"/>
        <color rgb="FF0F1115"/>
        <rFont val="Segoe UI"/>
        <charset val="134"/>
      </rPr>
      <t>蓝莓巧克力</t>
    </r>
  </si>
  <si>
    <t>提升蒂娜的好感一{nature1}点，当此牌被剪枝时，不会被消耗</t>
  </si>
  <si>
    <t>整颗冻干蓝莓外面裹着白巧克力，酸甜融合，蒂娜肯定会很喜欢</t>
  </si>
  <si>
    <t>noConsumed()</t>
  </si>
  <si>
    <t>魔法少女变身器</t>
  </si>
  <si>
    <t>提升蒂娜的好感二{nature2}点，当此牌被生枝时，往手牌中额外加入一张此卡</t>
  </si>
  <si>
    <t>按下会发光并播放音乐的小玩具，哪个女孩能拒绝？</t>
  </si>
  <si>
    <t>shake(1,0.3)</t>
  </si>
  <si>
    <t>addCard(12006,1)</t>
  </si>
  <si>
    <t>索引标签贴</t>
  </si>
  <si>
    <t>提升蒂娜的好感二{nature2}点，被生枝时，提升卡牌的好感二10点</t>
  </si>
  <si>
    <t>半透明磨砂材质，方便分类标记</t>
  </si>
  <si>
    <t>addNature(10,2)</t>
  </si>
  <si>
    <t>异形回形针</t>
  </si>
  <si>
    <t>提升蒂娜的好感一{nature1}点，被生长时，获得40金币</t>
  </si>
  <si>
    <t>被做成了云朵或小飞机的形状，夹在相册上很可爱。</t>
  </si>
  <si>
    <t>addMoney(40)</t>
  </si>
  <si>
    <t>解压魔方</t>
  </si>
  <si>
    <t>提升蒂娜的好感一{nature1}点，下回合好感度加成减少50%</t>
  </si>
  <si>
    <t>金属材质，手感沉甸甸，转动时有种冰冷顺滑的机械感，感觉蒂娜会玩不来</t>
  </si>
  <si>
    <t>changeProperty(0.5);magnify(0.4)</t>
  </si>
  <si>
    <t>隔音耳罩</t>
  </si>
  <si>
    <t>提升蒂娜的好感二{nature2}点，被剪枝时，提升蒂娜的好感三12点</t>
  </si>
  <si>
    <t>在嘈杂环境中制造绝对安静的小世界，集中精神必备。</t>
  </si>
  <si>
    <t>addNatureAtSum(12,3)</t>
  </si>
  <si>
    <t>扭蛋机存钱罐</t>
  </si>
  <si>
    <t>提升蒂娜的好感一{nature1}点，好感二{nature2}点，被生枝时，额外触发生长21次</t>
  </si>
  <si>
    <t>投币进去就能扭，应该会让存钱变得很快乐。</t>
  </si>
  <si>
    <t>beAdded(2,1)</t>
  </si>
  <si>
    <t>平衡摆件</t>
  </si>
  <si>
    <t>让蒂娜的好感一的数值等于蒂娜的好感二</t>
  </si>
  <si>
    <t>一个看似能永动的装置，看着它能看很久，像被催眠。</t>
  </si>
  <si>
    <t>addNatureFromTo(1,2);magnify(0.5)</t>
  </si>
  <si>
    <t>发光水母瓶</t>
  </si>
  <si>
    <t>提升蒂娜的好感一{nature1}点，被制造时，获得80金币</t>
  </si>
  <si>
    <t>黑暗中会发出梦幻的蓝光，像把一小片海带回家。</t>
  </si>
  <si>
    <t>大号棉花娃娃</t>
  </si>
  <si>
    <t>提升蒂娜的好感二{nature2}点，不会被消耗</t>
  </si>
  <si>
    <t>大小很夸张的棉花娃娃，是死忠粉才会想要的物品</t>
  </si>
  <si>
    <t>小钢笔</t>
  </si>
  <si>
    <t>提升蒂娜的好感一{nature1}点，好感二{nature2}点，好感三{nature3}点,被美化时，提升自身的三项好感20点</t>
  </si>
  <si>
    <t>一只看似普通的钢笔</t>
  </si>
  <si>
    <t>addNature(20,2);addNature(20,1);addNature(20,3);</t>
  </si>
  <si>
    <t>彭格列戒指</t>
  </si>
  <si>
    <t>被拆卸时，提升好感一40点，好感二60点，好感三40点</t>
  </si>
  <si>
    <t>似乎是某个意大利黑手党派的重要物品，拥有强大的力量</t>
  </si>
  <si>
    <t>addNatureAtSum(40,3);addNatureAtSum(40,1);addNatureAtSum(60,2)</t>
  </si>
  <si>
    <t>大盲盒</t>
  </si>
  <si>
    <t>随机获得3张罕见礼物牌</t>
  </si>
  <si>
    <t>商场里售卖的盲盒，不知道里面会开出什么东西</t>
  </si>
  <si>
    <t>addRandomCard(1,2,3)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</si>
</sst>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1"/>
      <color theme="1"/>
      <name val="宋体"/>
      <charset val="134"/>
      <scheme val="minor"/>
    </font>
    <font>
      <sz val="12"/>
      <color rgb="FF0F1115"/>
      <name val="Segoe UI"/>
      <charset val="134"/>
    </font>
    <font>
      <sz val="10"/>
      <color rgb="FF000000"/>
      <name val="宋体"/>
      <charset val="134"/>
      <scheme val="minor"/>
    </font>
    <font>
      <sz val="12"/>
      <color rgb="FF0F1115"/>
      <name val="宋体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4" fillId="0" borderId="0">
      <alignment vertical="center"/>
    </xf>
    <xf numFmtId="0" fontId="5" fillId="0" borderId="0">
      <alignment vertical="center"/>
    </xf>
    <xf numFmtId="0" fontId="0" fillId="4" borderId="1">
      <alignment vertical="center"/>
    </xf>
    <xf numFmtId="0" fontId="6" fillId="0" borderId="0">
      <alignment vertical="center"/>
    </xf>
    <xf numFmtId="0" fontId="7" fillId="0" borderId="0">
      <alignment vertical="center"/>
    </xf>
    <xf numFmtId="0" fontId="8" fillId="0" borderId="0">
      <alignment vertical="center"/>
    </xf>
    <xf numFmtId="0" fontId="9" fillId="0" borderId="2">
      <alignment vertical="center"/>
    </xf>
    <xf numFmtId="0" fontId="10" fillId="0" borderId="2">
      <alignment vertical="center"/>
    </xf>
    <xf numFmtId="0" fontId="11" fillId="0" borderId="3">
      <alignment vertical="center"/>
    </xf>
    <xf numFmtId="0" fontId="11" fillId="0" borderId="0">
      <alignment vertical="center"/>
    </xf>
    <xf numFmtId="0" fontId="12" fillId="5" borderId="4">
      <alignment vertical="center"/>
    </xf>
    <xf numFmtId="0" fontId="13" fillId="6" borderId="5">
      <alignment vertical="center"/>
    </xf>
    <xf numFmtId="0" fontId="14" fillId="6" borderId="4">
      <alignment vertical="center"/>
    </xf>
    <xf numFmtId="0" fontId="15" fillId="7" borderId="6">
      <alignment vertical="center"/>
    </xf>
    <xf numFmtId="0" fontId="16" fillId="0" borderId="7">
      <alignment vertical="center"/>
    </xf>
    <xf numFmtId="0" fontId="17" fillId="0" borderId="8">
      <alignment vertical="center"/>
    </xf>
    <xf numFmtId="0" fontId="18" fillId="8" borderId="0">
      <alignment vertical="center"/>
    </xf>
    <xf numFmtId="0" fontId="19" fillId="9" borderId="0">
      <alignment vertical="center"/>
    </xf>
    <xf numFmtId="0" fontId="20" fillId="10" borderId="0">
      <alignment vertical="center"/>
    </xf>
    <xf numFmtId="0" fontId="21" fillId="11" borderId="0">
      <alignment vertical="center"/>
    </xf>
    <xf numFmtId="0" fontId="22" fillId="12" borderId="0">
      <alignment vertical="center"/>
    </xf>
    <xf numFmtId="0" fontId="22" fillId="13" borderId="0">
      <alignment vertical="center"/>
    </xf>
    <xf numFmtId="0" fontId="21" fillId="14" borderId="0">
      <alignment vertical="center"/>
    </xf>
    <xf numFmtId="0" fontId="21" fillId="15" borderId="0">
      <alignment vertical="center"/>
    </xf>
    <xf numFmtId="0" fontId="22" fillId="16" borderId="0">
      <alignment vertical="center"/>
    </xf>
    <xf numFmtId="0" fontId="22" fillId="17" borderId="0">
      <alignment vertical="center"/>
    </xf>
    <xf numFmtId="0" fontId="21" fillId="18" borderId="0">
      <alignment vertical="center"/>
    </xf>
    <xf numFmtId="0" fontId="21" fillId="19" borderId="0">
      <alignment vertical="center"/>
    </xf>
    <xf numFmtId="0" fontId="22" fillId="20" borderId="0">
      <alignment vertical="center"/>
    </xf>
    <xf numFmtId="0" fontId="22" fillId="21" borderId="0">
      <alignment vertical="center"/>
    </xf>
    <xf numFmtId="0" fontId="21" fillId="22" borderId="0">
      <alignment vertical="center"/>
    </xf>
    <xf numFmtId="0" fontId="21" fillId="23" borderId="0">
      <alignment vertical="center"/>
    </xf>
    <xf numFmtId="0" fontId="22" fillId="24" borderId="0">
      <alignment vertical="center"/>
    </xf>
    <xf numFmtId="0" fontId="22" fillId="25" borderId="0">
      <alignment vertical="center"/>
    </xf>
    <xf numFmtId="0" fontId="21" fillId="26" borderId="0">
      <alignment vertical="center"/>
    </xf>
    <xf numFmtId="0" fontId="21" fillId="27" borderId="0">
      <alignment vertical="center"/>
    </xf>
    <xf numFmtId="0" fontId="22" fillId="28" borderId="0">
      <alignment vertical="center"/>
    </xf>
    <xf numFmtId="0" fontId="22" fillId="29" borderId="0">
      <alignment vertical="center"/>
    </xf>
    <xf numFmtId="0" fontId="21" fillId="30" borderId="0">
      <alignment vertical="center"/>
    </xf>
    <xf numFmtId="0" fontId="21" fillId="31" borderId="0">
      <alignment vertical="center"/>
    </xf>
    <xf numFmtId="0" fontId="22" fillId="32" borderId="0">
      <alignment vertical="center"/>
    </xf>
    <xf numFmtId="0" fontId="22" fillId="33" borderId="0">
      <alignment vertical="center"/>
    </xf>
    <xf numFmtId="0" fontId="21" fillId="34" borderId="0">
      <alignment vertical="center"/>
    </xf>
  </cellStyleXfs>
  <cellXfs count="16">
    <xf numFmtId="0" fontId="0" fillId="0" borderId="0" xfId="0" applyAlignment="1">
      <alignment vertical="center"/>
    </xf>
    <xf numFmtId="0" fontId="0" fillId="2" borderId="0" xfId="0" applyFill="1" applyAlignment="1">
      <alignment vertical="center"/>
    </xf>
    <xf numFmtId="0" fontId="0" fillId="0" borderId="0" xfId="0" applyAlignment="1">
      <alignment horizontal="right" vertical="center" wrapText="1"/>
    </xf>
    <xf numFmtId="0" fontId="0" fillId="0" borderId="0" xfId="0" applyAlignment="1">
      <alignment vertical="center" wrapText="1"/>
    </xf>
    <xf numFmtId="0" fontId="0" fillId="0" borderId="0" xfId="0" applyAlignment="1">
      <alignment horizontal="right" vertical="center"/>
    </xf>
    <xf numFmtId="0" fontId="0" fillId="0" borderId="0" xfId="0" applyAlignment="1">
      <alignment horizontal="left" vertical="center" wrapText="1"/>
    </xf>
    <xf numFmtId="0" fontId="1" fillId="0" borderId="0" xfId="0" applyFont="1">
      <alignment vertical="center"/>
    </xf>
    <xf numFmtId="0" fontId="2" fillId="0" borderId="0" xfId="0" applyFont="1">
      <alignment vertical="center"/>
    </xf>
    <xf numFmtId="0" fontId="3" fillId="0" borderId="0" xfId="0" applyFont="1">
      <alignment vertical="center"/>
    </xf>
    <xf numFmtId="0" fontId="0" fillId="0" borderId="0" xfId="0" applyAlignment="1">
      <alignment horizontal="left" vertical="center"/>
    </xf>
    <xf numFmtId="0" fontId="0" fillId="0" borderId="0" xfId="0" applyFont="1" applyFill="1" applyAlignment="1">
      <alignment wrapText="1"/>
    </xf>
    <xf numFmtId="0" fontId="2" fillId="0" borderId="0" xfId="0" applyFont="1" applyAlignment="1">
      <alignment vertical="center"/>
    </xf>
    <xf numFmtId="0" fontId="0" fillId="0" borderId="0" xfId="0" applyFont="1" applyFill="1" applyAlignment="1">
      <alignment vertical="center" wrapText="1"/>
    </xf>
    <xf numFmtId="0" fontId="0" fillId="2" borderId="0" xfId="0" applyFont="1" applyFill="1" applyAlignment="1">
      <alignment vertical="center" wrapText="1"/>
    </xf>
    <xf numFmtId="0" fontId="0" fillId="2" borderId="0" xfId="0" applyFill="1" applyAlignment="1">
      <alignment vertical="center" wrapText="1"/>
    </xf>
    <xf numFmtId="0" fontId="0" fillId="3" borderId="0" xfId="0" applyFill="1" applyAlignme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W26"/>
  <sheetViews>
    <sheetView tabSelected="1" workbookViewId="0">
      <pane xSplit="2" topLeftCell="C1" activePane="topRight" state="frozen"/>
      <selection/>
      <selection pane="topRight" activeCell="B7" sqref="B7"/>
    </sheetView>
  </sheetViews>
  <sheetFormatPr defaultColWidth="9" defaultRowHeight="14"/>
  <cols>
    <col min="1" max="1" width="13.5454545454545" customWidth="1"/>
    <col min="2" max="2" width="11.8181818181818" style="2" customWidth="1"/>
    <col min="3" max="3" width="12.8181818181818" customWidth="1"/>
    <col min="6" max="6" width="42.8181818181818" style="3" customWidth="1"/>
    <col min="7" max="7" width="17.4545454545455" customWidth="1"/>
    <col min="8" max="8" width="9.45454545454546" customWidth="1"/>
    <col min="9" max="9" width="19.2727272727273" customWidth="1"/>
    <col min="10" max="10" width="7.27272727272727" customWidth="1"/>
    <col min="11" max="11" width="15" customWidth="1"/>
    <col min="12" max="13" width="18.0909090909091" style="3" customWidth="1"/>
    <col min="14" max="14" width="14.8181818181818" style="3" customWidth="1"/>
    <col min="15" max="15" width="15" style="3" customWidth="1"/>
    <col min="16" max="16" width="12.2727272727273" style="3" customWidth="1"/>
  </cols>
  <sheetData>
    <row r="1" spans="1:23">
      <c r="A1" s="4" t="s">
        <v>0</v>
      </c>
      <c r="B1" s="2" t="s">
        <v>1</v>
      </c>
      <c r="C1" s="4" t="s">
        <v>2</v>
      </c>
      <c r="D1" s="4" t="s">
        <v>3</v>
      </c>
      <c r="E1" s="4" t="s">
        <v>4</v>
      </c>
      <c r="F1" s="5" t="s">
        <v>5</v>
      </c>
      <c r="G1" s="4" t="s">
        <v>6</v>
      </c>
      <c r="H1" s="4" t="s">
        <v>7</v>
      </c>
      <c r="I1" s="4" t="s">
        <v>8</v>
      </c>
      <c r="J1" s="4" t="s">
        <v>9</v>
      </c>
      <c r="K1" s="4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4" t="s">
        <v>16</v>
      </c>
      <c r="R1" s="4" t="s">
        <v>17</v>
      </c>
      <c r="S1" s="4"/>
      <c r="T1" s="4"/>
      <c r="U1" s="4"/>
      <c r="V1" s="4"/>
      <c r="W1" s="4"/>
    </row>
    <row r="2" ht="17.5" spans="1:23">
      <c r="A2" s="4">
        <v>11601</v>
      </c>
      <c r="B2" s="2" t="s">
        <v>18</v>
      </c>
      <c r="C2" s="4">
        <v>4</v>
      </c>
      <c r="D2" s="4">
        <v>0</v>
      </c>
      <c r="E2" s="4">
        <v>0</v>
      </c>
      <c r="F2" s="5" t="s">
        <v>19</v>
      </c>
      <c r="G2" s="6"/>
      <c r="H2" s="7">
        <v>4</v>
      </c>
      <c r="I2" s="7" t="s">
        <v>20</v>
      </c>
      <c r="J2" s="4"/>
      <c r="K2" s="4">
        <v>10</v>
      </c>
      <c r="L2" s="2">
        <f>K2*0.8</f>
        <v>8</v>
      </c>
      <c r="M2" s="2"/>
      <c r="N2" s="2"/>
      <c r="O2" s="2"/>
      <c r="P2" s="2"/>
      <c r="Q2" s="4"/>
      <c r="R2" s="4">
        <v>1</v>
      </c>
      <c r="S2" s="4"/>
      <c r="T2" s="4"/>
      <c r="U2" s="4"/>
      <c r="V2" s="4"/>
      <c r="W2" s="4"/>
    </row>
    <row r="3" ht="15" spans="1:23">
      <c r="A3" s="4">
        <v>11602</v>
      </c>
      <c r="B3" s="8" t="s">
        <v>21</v>
      </c>
      <c r="C3" s="4">
        <v>0</v>
      </c>
      <c r="D3" s="4">
        <v>6</v>
      </c>
      <c r="E3" s="4">
        <v>0</v>
      </c>
      <c r="F3" s="5" t="s">
        <v>22</v>
      </c>
      <c r="G3" s="8"/>
      <c r="H3" s="4">
        <v>4</v>
      </c>
      <c r="I3" s="9" t="s">
        <v>23</v>
      </c>
      <c r="J3" s="4"/>
      <c r="K3" s="4">
        <v>10</v>
      </c>
      <c r="L3" s="2">
        <f t="shared" ref="L3:L25" si="0">K3*0.8</f>
        <v>8</v>
      </c>
      <c r="M3" s="2"/>
      <c r="N3" s="2"/>
      <c r="O3" s="2"/>
      <c r="P3" s="2"/>
      <c r="Q3" s="4"/>
      <c r="R3" s="4">
        <v>1</v>
      </c>
      <c r="S3" s="4"/>
      <c r="T3" s="4"/>
      <c r="U3" s="4"/>
      <c r="V3" s="4"/>
      <c r="W3" s="4"/>
    </row>
    <row r="4" ht="20" customHeight="1" spans="1:23">
      <c r="A4">
        <v>11001</v>
      </c>
      <c r="B4" s="8" t="s">
        <v>24</v>
      </c>
      <c r="C4">
        <v>8</v>
      </c>
      <c r="D4">
        <v>0</v>
      </c>
      <c r="E4">
        <v>0</v>
      </c>
      <c r="F4" s="10" t="s">
        <v>19</v>
      </c>
      <c r="G4" s="11" t="s">
        <v>25</v>
      </c>
      <c r="H4" s="4">
        <v>4</v>
      </c>
      <c r="I4" s="9"/>
      <c r="K4">
        <v>20</v>
      </c>
      <c r="L4" s="2">
        <f t="shared" si="0"/>
        <v>16</v>
      </c>
      <c r="R4">
        <v>2</v>
      </c>
    </row>
    <row r="5" ht="15" spans="1:23">
      <c r="A5">
        <v>11002</v>
      </c>
      <c r="B5" s="8" t="s">
        <v>26</v>
      </c>
      <c r="C5">
        <v>0</v>
      </c>
      <c r="D5">
        <v>12</v>
      </c>
      <c r="E5">
        <v>0</v>
      </c>
      <c r="F5" s="10" t="s">
        <v>22</v>
      </c>
      <c r="G5" s="11" t="s">
        <v>27</v>
      </c>
      <c r="H5" s="7">
        <v>4</v>
      </c>
      <c r="K5">
        <v>20</v>
      </c>
      <c r="L5" s="2">
        <f t="shared" si="0"/>
        <v>16</v>
      </c>
      <c r="R5" s="4">
        <v>2</v>
      </c>
    </row>
    <row r="6" ht="28" spans="1:23">
      <c r="A6">
        <v>11003</v>
      </c>
      <c r="B6" s="8" t="s">
        <v>28</v>
      </c>
      <c r="C6">
        <v>4</v>
      </c>
      <c r="D6">
        <v>4</v>
      </c>
      <c r="E6">
        <v>0</v>
      </c>
      <c r="F6" s="10" t="s">
        <v>29</v>
      </c>
      <c r="G6" s="11" t="s">
        <v>30</v>
      </c>
      <c r="H6" s="4">
        <v>4</v>
      </c>
      <c r="K6">
        <v>20</v>
      </c>
      <c r="L6" s="2">
        <f t="shared" si="0"/>
        <v>16</v>
      </c>
      <c r="R6" s="4">
        <v>3</v>
      </c>
    </row>
    <row r="7" ht="28" spans="1:23">
      <c r="A7">
        <v>11004</v>
      </c>
      <c r="B7" s="2" t="s">
        <v>31</v>
      </c>
      <c r="C7">
        <v>0</v>
      </c>
      <c r="D7">
        <v>0</v>
      </c>
      <c r="E7">
        <v>16</v>
      </c>
      <c r="F7" s="12" t="s">
        <v>32</v>
      </c>
      <c r="G7" s="11" t="s">
        <v>33</v>
      </c>
      <c r="H7" s="4">
        <v>4</v>
      </c>
      <c r="K7">
        <v>20</v>
      </c>
      <c r="L7" s="2">
        <f t="shared" si="0"/>
        <v>16</v>
      </c>
      <c r="R7">
        <v>3</v>
      </c>
    </row>
    <row r="8" ht="28" spans="1:23">
      <c r="A8">
        <v>11005</v>
      </c>
      <c r="B8" s="2" t="s">
        <v>34</v>
      </c>
      <c r="C8">
        <v>12</v>
      </c>
      <c r="D8">
        <v>-6</v>
      </c>
      <c r="E8">
        <v>0</v>
      </c>
      <c r="F8" s="12" t="s">
        <v>35</v>
      </c>
      <c r="G8" s="11" t="s">
        <v>36</v>
      </c>
      <c r="H8" s="7">
        <v>4</v>
      </c>
      <c r="I8" t="s">
        <v>37</v>
      </c>
      <c r="K8">
        <v>20</v>
      </c>
      <c r="L8" s="2">
        <f t="shared" si="0"/>
        <v>16</v>
      </c>
      <c r="R8" s="4">
        <v>4</v>
      </c>
    </row>
    <row r="9" ht="28" spans="1:23">
      <c r="A9">
        <v>11006</v>
      </c>
      <c r="B9" s="2" t="s">
        <v>38</v>
      </c>
      <c r="C9">
        <v>1</v>
      </c>
      <c r="D9">
        <v>1</v>
      </c>
      <c r="E9">
        <v>0</v>
      </c>
      <c r="F9" s="12" t="s">
        <v>39</v>
      </c>
      <c r="G9" s="11" t="s">
        <v>40</v>
      </c>
      <c r="H9" s="9">
        <v>4</v>
      </c>
      <c r="K9">
        <v>60</v>
      </c>
      <c r="L9" s="2">
        <v>60</v>
      </c>
      <c r="R9" s="4">
        <v>4</v>
      </c>
    </row>
    <row r="10" ht="15" spans="1:23">
      <c r="A10">
        <v>12001</v>
      </c>
      <c r="B10" s="8" t="s">
        <v>41</v>
      </c>
      <c r="C10">
        <v>2</v>
      </c>
      <c r="D10">
        <v>2</v>
      </c>
      <c r="E10">
        <v>2</v>
      </c>
      <c r="F10" s="12" t="s">
        <v>42</v>
      </c>
      <c r="G10" s="11" t="s">
        <v>43</v>
      </c>
      <c r="H10" s="9">
        <v>4</v>
      </c>
      <c r="I10" t="s">
        <v>44</v>
      </c>
      <c r="K10">
        <v>40</v>
      </c>
      <c r="L10" s="2">
        <f t="shared" si="0"/>
        <v>32</v>
      </c>
      <c r="R10">
        <v>2</v>
      </c>
    </row>
    <row r="11" ht="28" spans="1:23">
      <c r="A11">
        <v>12002</v>
      </c>
      <c r="B11" s="8" t="s">
        <v>45</v>
      </c>
      <c r="C11">
        <v>4</v>
      </c>
      <c r="D11">
        <v>6</v>
      </c>
      <c r="E11">
        <v>0</v>
      </c>
      <c r="F11" s="12" t="s">
        <v>46</v>
      </c>
      <c r="G11" s="11" t="s">
        <v>47</v>
      </c>
      <c r="H11" s="7">
        <v>4</v>
      </c>
      <c r="I11" t="s">
        <v>48</v>
      </c>
      <c r="K11">
        <v>40</v>
      </c>
      <c r="L11" s="2">
        <f t="shared" si="0"/>
        <v>32</v>
      </c>
      <c r="R11" s="4">
        <v>10</v>
      </c>
    </row>
    <row r="12" ht="17.5" spans="1:23">
      <c r="A12">
        <v>12003</v>
      </c>
      <c r="B12" s="8" t="s">
        <v>49</v>
      </c>
      <c r="C12">
        <v>0</v>
      </c>
      <c r="D12">
        <v>24</v>
      </c>
      <c r="E12">
        <v>0</v>
      </c>
      <c r="F12" s="12" t="s">
        <v>22</v>
      </c>
      <c r="G12" s="6" t="s">
        <v>50</v>
      </c>
      <c r="H12" s="9">
        <v>4</v>
      </c>
      <c r="I12" t="s">
        <v>44</v>
      </c>
      <c r="K12">
        <v>40</v>
      </c>
      <c r="L12" s="2">
        <f t="shared" si="0"/>
        <v>32</v>
      </c>
      <c r="R12" s="4">
        <v>11</v>
      </c>
    </row>
    <row r="13" ht="28" spans="1:23">
      <c r="A13">
        <v>12004</v>
      </c>
      <c r="B13" s="6" t="s">
        <v>51</v>
      </c>
      <c r="C13">
        <v>24</v>
      </c>
      <c r="D13">
        <v>0</v>
      </c>
      <c r="E13">
        <v>0</v>
      </c>
      <c r="F13" s="12" t="s">
        <v>52</v>
      </c>
      <c r="G13" s="6" t="s">
        <v>53</v>
      </c>
      <c r="H13" s="9">
        <v>4</v>
      </c>
      <c r="I13" t="s">
        <v>54</v>
      </c>
      <c r="K13">
        <v>40</v>
      </c>
      <c r="L13" s="2">
        <f t="shared" si="0"/>
        <v>32</v>
      </c>
      <c r="R13">
        <v>12</v>
      </c>
    </row>
    <row r="14" ht="28" spans="1:23">
      <c r="A14">
        <v>12005</v>
      </c>
      <c r="B14" s="6" t="s">
        <v>55</v>
      </c>
      <c r="C14">
        <v>10</v>
      </c>
      <c r="D14">
        <v>0</v>
      </c>
      <c r="E14">
        <v>0</v>
      </c>
      <c r="F14" s="12" t="s">
        <v>56</v>
      </c>
      <c r="G14" s="8" t="s">
        <v>57</v>
      </c>
      <c r="H14" s="7">
        <v>4</v>
      </c>
      <c r="I14" t="s">
        <v>58</v>
      </c>
      <c r="K14">
        <v>40</v>
      </c>
      <c r="L14" s="2">
        <f t="shared" si="0"/>
        <v>32</v>
      </c>
      <c r="R14" s="4">
        <v>13</v>
      </c>
    </row>
    <row r="15" ht="32" customHeight="1" spans="1:23">
      <c r="A15">
        <v>12006</v>
      </c>
      <c r="B15" s="6" t="s">
        <v>59</v>
      </c>
      <c r="C15">
        <v>0</v>
      </c>
      <c r="D15">
        <v>16</v>
      </c>
      <c r="E15">
        <v>0</v>
      </c>
      <c r="F15" s="12" t="s">
        <v>60</v>
      </c>
      <c r="G15" s="8" t="s">
        <v>61</v>
      </c>
      <c r="H15" s="9">
        <v>4</v>
      </c>
      <c r="I15" t="s">
        <v>62</v>
      </c>
      <c r="K15">
        <v>40</v>
      </c>
      <c r="L15" s="2">
        <f t="shared" si="0"/>
        <v>32</v>
      </c>
      <c r="M15" s="3" t="s">
        <v>63</v>
      </c>
      <c r="R15" s="4">
        <v>15</v>
      </c>
    </row>
    <row r="16" ht="30" customHeight="1" spans="1:23">
      <c r="A16">
        <v>12007</v>
      </c>
      <c r="B16" s="6" t="s">
        <v>64</v>
      </c>
      <c r="C16">
        <v>0</v>
      </c>
      <c r="D16">
        <v>18</v>
      </c>
      <c r="E16">
        <v>0</v>
      </c>
      <c r="F16" s="12" t="s">
        <v>65</v>
      </c>
      <c r="G16" s="8" t="s">
        <v>66</v>
      </c>
      <c r="H16" s="9">
        <v>4</v>
      </c>
      <c r="K16">
        <v>40</v>
      </c>
      <c r="L16" s="2">
        <f t="shared" si="0"/>
        <v>32</v>
      </c>
      <c r="O16" s="3" t="s">
        <v>67</v>
      </c>
      <c r="R16">
        <v>1</v>
      </c>
    </row>
    <row r="17" ht="28" spans="1:18">
      <c r="A17">
        <v>12008</v>
      </c>
      <c r="B17" s="6" t="s">
        <v>68</v>
      </c>
      <c r="C17">
        <v>12</v>
      </c>
      <c r="D17">
        <v>0</v>
      </c>
      <c r="E17">
        <v>0</v>
      </c>
      <c r="F17" s="12" t="s">
        <v>69</v>
      </c>
      <c r="G17" s="8" t="s">
        <v>70</v>
      </c>
      <c r="H17" s="7">
        <v>4</v>
      </c>
      <c r="K17">
        <v>40</v>
      </c>
      <c r="L17" s="2">
        <f t="shared" si="0"/>
        <v>32</v>
      </c>
      <c r="O17" s="3" t="s">
        <v>71</v>
      </c>
      <c r="R17" s="4">
        <v>13</v>
      </c>
    </row>
    <row r="18" ht="28" spans="1:18">
      <c r="A18">
        <v>12009</v>
      </c>
      <c r="B18" s="6" t="s">
        <v>72</v>
      </c>
      <c r="C18">
        <v>40</v>
      </c>
      <c r="D18">
        <v>0</v>
      </c>
      <c r="E18">
        <v>0</v>
      </c>
      <c r="F18" s="12" t="s">
        <v>73</v>
      </c>
      <c r="G18" s="8" t="s">
        <v>74</v>
      </c>
      <c r="H18" s="9">
        <v>4</v>
      </c>
      <c r="I18" t="s">
        <v>75</v>
      </c>
      <c r="K18">
        <v>40</v>
      </c>
      <c r="L18" s="2">
        <f t="shared" si="0"/>
        <v>32</v>
      </c>
      <c r="R18" s="4">
        <v>14</v>
      </c>
    </row>
    <row r="19" ht="28" spans="1:18">
      <c r="A19">
        <v>12010</v>
      </c>
      <c r="B19" s="6" t="s">
        <v>76</v>
      </c>
      <c r="C19">
        <v>0</v>
      </c>
      <c r="D19">
        <v>20</v>
      </c>
      <c r="E19">
        <v>0</v>
      </c>
      <c r="F19" s="12" t="s">
        <v>77</v>
      </c>
      <c r="G19" s="6" t="s">
        <v>78</v>
      </c>
      <c r="H19" s="9">
        <v>4</v>
      </c>
      <c r="K19">
        <v>40</v>
      </c>
      <c r="L19" s="2">
        <f t="shared" si="0"/>
        <v>32</v>
      </c>
      <c r="N19" s="3" t="s">
        <v>79</v>
      </c>
      <c r="R19">
        <v>10</v>
      </c>
    </row>
    <row r="20" ht="28" spans="1:18">
      <c r="A20">
        <v>12011</v>
      </c>
      <c r="B20" s="6" t="s">
        <v>80</v>
      </c>
      <c r="C20">
        <v>8</v>
      </c>
      <c r="D20">
        <v>8</v>
      </c>
      <c r="E20">
        <v>0</v>
      </c>
      <c r="F20" s="12" t="s">
        <v>81</v>
      </c>
      <c r="G20" s="8" t="s">
        <v>82</v>
      </c>
      <c r="H20" s="7">
        <v>4</v>
      </c>
      <c r="K20">
        <v>40</v>
      </c>
      <c r="L20" s="2">
        <f t="shared" si="0"/>
        <v>32</v>
      </c>
      <c r="M20" s="3" t="s">
        <v>83</v>
      </c>
      <c r="R20" s="4">
        <v>2</v>
      </c>
    </row>
    <row r="21" s="1" customFormat="1" ht="17.5" spans="1:18">
      <c r="A21" s="1">
        <v>13001</v>
      </c>
      <c r="B21" s="6" t="s">
        <v>84</v>
      </c>
      <c r="C21" s="1">
        <v>0</v>
      </c>
      <c r="D21" s="1">
        <v>0</v>
      </c>
      <c r="E21" s="1">
        <v>0</v>
      </c>
      <c r="F21" s="13" t="s">
        <v>85</v>
      </c>
      <c r="G21" s="8" t="s">
        <v>86</v>
      </c>
      <c r="H21" s="9">
        <v>4</v>
      </c>
      <c r="I21" s="1" t="s">
        <v>87</v>
      </c>
      <c r="K21" s="1">
        <v>80</v>
      </c>
      <c r="L21" s="2">
        <f t="shared" si="0"/>
        <v>64</v>
      </c>
      <c r="M21" s="14"/>
      <c r="N21" s="14"/>
      <c r="O21" s="14"/>
      <c r="P21" s="14"/>
      <c r="R21" s="4">
        <v>4</v>
      </c>
    </row>
    <row r="22" customFormat="1" ht="17.5" spans="1:18">
      <c r="A22" s="1">
        <v>13002</v>
      </c>
      <c r="B22" s="6" t="s">
        <v>88</v>
      </c>
      <c r="C22">
        <v>30</v>
      </c>
      <c r="D22">
        <v>0</v>
      </c>
      <c r="E22">
        <v>0</v>
      </c>
      <c r="F22" t="s">
        <v>89</v>
      </c>
      <c r="G22" s="6" t="s">
        <v>90</v>
      </c>
      <c r="H22"/>
      <c r="K22">
        <v>80</v>
      </c>
      <c r="L22" s="2">
        <f t="shared" si="0"/>
        <v>64</v>
      </c>
      <c r="M22" t="s">
        <v>71</v>
      </c>
    </row>
    <row r="23" ht="28" spans="1:18">
      <c r="A23" s="1">
        <v>13003</v>
      </c>
      <c r="B23" s="2" t="s">
        <v>91</v>
      </c>
      <c r="C23">
        <v>0</v>
      </c>
      <c r="D23">
        <v>42</v>
      </c>
      <c r="E23">
        <v>0</v>
      </c>
      <c r="F23" s="3" t="s">
        <v>92</v>
      </c>
      <c r="G23" s="11" t="s">
        <v>93</v>
      </c>
      <c r="I23" t="s">
        <v>58</v>
      </c>
      <c r="K23" s="15">
        <v>80</v>
      </c>
      <c r="L23" s="2">
        <f t="shared" si="0"/>
        <v>64</v>
      </c>
    </row>
    <row r="24" ht="56" spans="1:18">
      <c r="A24" s="1">
        <v>13004</v>
      </c>
      <c r="B24" s="2" t="s">
        <v>94</v>
      </c>
      <c r="C24">
        <v>10</v>
      </c>
      <c r="D24">
        <v>10</v>
      </c>
      <c r="E24">
        <v>1</v>
      </c>
      <c r="F24" s="3" t="s">
        <v>95</v>
      </c>
      <c r="G24" s="11" t="s">
        <v>96</v>
      </c>
      <c r="K24">
        <v>80</v>
      </c>
      <c r="L24" s="2">
        <f t="shared" si="0"/>
        <v>64</v>
      </c>
      <c r="O24" s="3" t="s">
        <v>97</v>
      </c>
    </row>
    <row r="25" ht="70" spans="1:18">
      <c r="A25" s="1">
        <v>13005</v>
      </c>
      <c r="B25" s="2" t="s">
        <v>98</v>
      </c>
      <c r="C25">
        <v>0</v>
      </c>
      <c r="D25">
        <v>0</v>
      </c>
      <c r="E25">
        <v>0</v>
      </c>
      <c r="F25" s="3" t="s">
        <v>99</v>
      </c>
      <c r="G25" s="11" t="s">
        <v>100</v>
      </c>
      <c r="K25" s="15">
        <v>80</v>
      </c>
      <c r="L25" s="2">
        <f t="shared" si="0"/>
        <v>64</v>
      </c>
      <c r="N25" s="3" t="s">
        <v>101</v>
      </c>
    </row>
    <row r="26" customFormat="1" ht="42" spans="1:18">
      <c r="A26" s="1">
        <v>13006</v>
      </c>
      <c r="B26" s="3" t="s">
        <v>102</v>
      </c>
      <c r="C26">
        <v>0</v>
      </c>
      <c r="D26">
        <v>0</v>
      </c>
      <c r="E26">
        <v>0</v>
      </c>
      <c r="F26" s="3" t="s">
        <v>103</v>
      </c>
      <c r="G26" s="3" t="s">
        <v>104</v>
      </c>
      <c r="L26" s="3" t="s">
        <v>105</v>
      </c>
      <c r="N26" s="1">
        <v>80</v>
      </c>
      <c r="O26">
        <f>N26*0.8</f>
        <v>64</v>
      </c>
    </row>
  </sheetData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4"/>
  <sheetData/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4"/>
  <sheetData/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yjtc</dc:creator>
  <cp:lastModifiedBy>玉皆透澈</cp:lastModifiedBy>
  <dcterms:created xsi:type="dcterms:W3CDTF">2023-05-12T11:15:00Z</dcterms:created>
  <dcterms:modified xsi:type="dcterms:W3CDTF">2026-05-27T07:29:16Z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2052-12.1.0.23542</vt:lpwstr>
  </property>
  <property fmtid="{D5CDD505-2E9C-101B-9397-08002B2CF9AE}" pid="3" name="ICV">
    <vt:lpwstr>09E17085A3AA46C08F6374B96ACF4970_12</vt:lpwstr>
  </property>
</Properties>
</file>